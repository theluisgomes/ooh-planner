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isworldwide-my.sharepoint.com/personal/ton_maciel_iris-worldwide_com/Documents/Boticário/OOH Planner/"/>
    </mc:Choice>
  </mc:AlternateContent>
  <xr:revisionPtr revIDLastSave="2" documentId="8_{5FE69BC8-AE1F-4DF7-B80A-2767006B69EC}" xr6:coauthVersionLast="47" xr6:coauthVersionMax="47" xr10:uidLastSave="{98F525A3-465C-46A5-A13D-9AA26C740907}"/>
  <bookViews>
    <workbookView xWindow="-108" yWindow="-108" windowWidth="23256" windowHeight="12456" xr2:uid="{C3389020-447C-4F8A-AE3C-C8EC443D7E5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AD14" i="1" l="1"/>
  <c r="AE14" i="1"/>
  <c r="S14" i="1"/>
  <c r="C14" i="1"/>
  <c r="Q12" i="1"/>
  <c r="U12" i="1" s="1"/>
  <c r="Q11" i="1"/>
  <c r="U11" i="1" s="1"/>
  <c r="U10" i="1"/>
  <c r="Q9" i="1"/>
  <c r="F14" i="1"/>
  <c r="AB12" i="1"/>
  <c r="AB11" i="1"/>
  <c r="AB10" i="1"/>
  <c r="AB9" i="1"/>
  <c r="Y9" i="1"/>
  <c r="AA12" i="1"/>
  <c r="AA11" i="1"/>
  <c r="AA10" i="1"/>
  <c r="AA9" i="1"/>
  <c r="Y12" i="1"/>
  <c r="Y11" i="1"/>
  <c r="Y10" i="1"/>
  <c r="G12" i="1"/>
  <c r="G11" i="1"/>
  <c r="G10" i="1"/>
  <c r="E14" i="1"/>
  <c r="AA14" i="1" l="1"/>
  <c r="Q14" i="1"/>
  <c r="U14" i="1" s="1"/>
  <c r="U9" i="1"/>
  <c r="G14" i="1"/>
  <c r="Y14" i="1"/>
</calcChain>
</file>

<file path=xl/sharedStrings.xml><?xml version="1.0" encoding="utf-8"?>
<sst xmlns="http://schemas.openxmlformats.org/spreadsheetml/2006/main" count="62" uniqueCount="49">
  <si>
    <t>MUB</t>
  </si>
  <si>
    <t>EMPENA</t>
  </si>
  <si>
    <t>FRONT</t>
  </si>
  <si>
    <t>BUSDOOR</t>
  </si>
  <si>
    <t>BUDGET</t>
  </si>
  <si>
    <t>PRACA</t>
  </si>
  <si>
    <t>CICLO</t>
  </si>
  <si>
    <t>DATA</t>
  </si>
  <si>
    <t>RJ</t>
  </si>
  <si>
    <t>PESO</t>
  </si>
  <si>
    <t>Min</t>
  </si>
  <si>
    <t>Max</t>
  </si>
  <si>
    <t>CPF</t>
  </si>
  <si>
    <t>Negociação</t>
  </si>
  <si>
    <t>Index</t>
  </si>
  <si>
    <t>Median</t>
  </si>
  <si>
    <t>Backend</t>
  </si>
  <si>
    <t>Frontend</t>
  </si>
  <si>
    <t>EXPOSIÇÃO</t>
  </si>
  <si>
    <t>PLANEJAMENTO</t>
  </si>
  <si>
    <t>Edit</t>
  </si>
  <si>
    <t>JCDECAUX</t>
  </si>
  <si>
    <t>BIGDOOR</t>
  </si>
  <si>
    <t>CARREGA+</t>
  </si>
  <si>
    <t>OUTROS</t>
  </si>
  <si>
    <t>VEÍCULO</t>
  </si>
  <si>
    <t>S1</t>
  </si>
  <si>
    <t>S2</t>
  </si>
  <si>
    <t>S3</t>
  </si>
  <si>
    <t>S4</t>
  </si>
  <si>
    <t>ESTATICO</t>
  </si>
  <si>
    <t>DIGITAL</t>
  </si>
  <si>
    <t>TIPO MATERIAL</t>
  </si>
  <si>
    <t>Under</t>
  </si>
  <si>
    <t>Over</t>
  </si>
  <si>
    <t>Ineficiente</t>
  </si>
  <si>
    <t>Eficiente</t>
  </si>
  <si>
    <t>FORMATO</t>
  </si>
  <si>
    <t>Tabela Unit.</t>
  </si>
  <si>
    <t>TT FACES</t>
  </si>
  <si>
    <t>TT Neg.</t>
  </si>
  <si>
    <t>EFICIÊNCIA R$</t>
  </si>
  <si>
    <t>OBS</t>
  </si>
  <si>
    <t>CPF MIN</t>
  </si>
  <si>
    <t>CPF MAX</t>
  </si>
  <si>
    <t>budget total vs disponivel</t>
  </si>
  <si>
    <t>Budget ideal</t>
  </si>
  <si>
    <t>recomendacao do plano ideal</t>
  </si>
  <si>
    <t xml:space="preserve">fluxo de tomada de decisao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</si>
</sst>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8"/>
      <color theme="0" tint="-0.349986266670735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0" borderId="0" xfId="0" applyFont="1"/>
    <xf numFmtId="3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0" fillId="6" borderId="3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2" fillId="7" borderId="0" xfId="0" applyFont="1" applyFill="1"/>
    <xf numFmtId="0" fontId="0" fillId="7" borderId="0" xfId="0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616621</xdr:colOff>
      <xdr:row>8</xdr:row>
      <xdr:rowOff>11431</xdr:rowOff>
    </xdr:from>
    <xdr:to>
      <xdr:col>9</xdr:col>
      <xdr:colOff>483476</xdr:colOff>
      <xdr:row>8</xdr:row>
      <xdr:rowOff>157655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FAF6E250-1EEF-A56F-1705-257D321F183B}"/>
            </a:ext>
          </a:extLst>
        </xdr:cNvPr>
        <xdr:cNvSpPr/>
      </xdr:nvSpPr>
      <xdr:spPr>
        <a:xfrm>
          <a:off x="5577504" y="1482879"/>
          <a:ext cx="497475" cy="146224"/>
        </a:xfrm>
        <a:prstGeom prst="flowChartTerminator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34027</xdr:colOff>
      <xdr:row>8</xdr:row>
      <xdr:rowOff>19049</xdr:rowOff>
    </xdr:from>
    <xdr:to>
      <xdr:col>9</xdr:col>
      <xdr:colOff>169282</xdr:colOff>
      <xdr:row>8</xdr:row>
      <xdr:rowOff>154304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C338041-C46F-458B-E1F9-9A509F9418A5}"/>
            </a:ext>
          </a:extLst>
        </xdr:cNvPr>
        <xdr:cNvSpPr/>
      </xdr:nvSpPr>
      <xdr:spPr>
        <a:xfrm>
          <a:off x="5625530" y="1490497"/>
          <a:ext cx="135255" cy="135255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616621</xdr:colOff>
      <xdr:row>9</xdr:row>
      <xdr:rowOff>20562</xdr:rowOff>
    </xdr:from>
    <xdr:to>
      <xdr:col>9</xdr:col>
      <xdr:colOff>483476</xdr:colOff>
      <xdr:row>9</xdr:row>
      <xdr:rowOff>165735</xdr:rowOff>
    </xdr:to>
    <xdr:sp macro="" textlink="">
      <xdr:nvSpPr>
        <xdr:cNvPr id="6" name="Flowchart: Terminator 5">
          <a:extLst>
            <a:ext uri="{FF2B5EF4-FFF2-40B4-BE49-F238E27FC236}">
              <a16:creationId xmlns:a16="http://schemas.microsoft.com/office/drawing/2014/main" id="{8D2DB66C-8D80-D53D-B6B1-E6A4A855BEAE}"/>
            </a:ext>
          </a:extLst>
        </xdr:cNvPr>
        <xdr:cNvSpPr/>
      </xdr:nvSpPr>
      <xdr:spPr>
        <a:xfrm>
          <a:off x="5577241" y="1666482"/>
          <a:ext cx="499315" cy="145173"/>
        </a:xfrm>
        <a:prstGeom prst="flowChartTerminator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286081</xdr:colOff>
      <xdr:row>9</xdr:row>
      <xdr:rowOff>28180</xdr:rowOff>
    </xdr:from>
    <xdr:to>
      <xdr:col>9</xdr:col>
      <xdr:colOff>421336</xdr:colOff>
      <xdr:row>9</xdr:row>
      <xdr:rowOff>163435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EC2D748-F36F-F6AC-D549-105BDEA340AC}"/>
            </a:ext>
          </a:extLst>
        </xdr:cNvPr>
        <xdr:cNvSpPr/>
      </xdr:nvSpPr>
      <xdr:spPr>
        <a:xfrm>
          <a:off x="6598958" y="1663549"/>
          <a:ext cx="135255" cy="135255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616621</xdr:colOff>
      <xdr:row>10</xdr:row>
      <xdr:rowOff>37707</xdr:rowOff>
    </xdr:from>
    <xdr:to>
      <xdr:col>9</xdr:col>
      <xdr:colOff>483476</xdr:colOff>
      <xdr:row>10</xdr:row>
      <xdr:rowOff>183931</xdr:rowOff>
    </xdr:to>
    <xdr:sp macro="" textlink="">
      <xdr:nvSpPr>
        <xdr:cNvPr id="8" name="Flowchart: Terminator 7">
          <a:extLst>
            <a:ext uri="{FF2B5EF4-FFF2-40B4-BE49-F238E27FC236}">
              <a16:creationId xmlns:a16="http://schemas.microsoft.com/office/drawing/2014/main" id="{BB1BF9DD-0597-A73F-BE1F-1100A561E0C7}"/>
            </a:ext>
          </a:extLst>
        </xdr:cNvPr>
        <xdr:cNvSpPr/>
      </xdr:nvSpPr>
      <xdr:spPr>
        <a:xfrm>
          <a:off x="5577504" y="1877017"/>
          <a:ext cx="497475" cy="146224"/>
        </a:xfrm>
        <a:prstGeom prst="flowChartTerminator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34027</xdr:colOff>
      <xdr:row>10</xdr:row>
      <xdr:rowOff>45325</xdr:rowOff>
    </xdr:from>
    <xdr:to>
      <xdr:col>9</xdr:col>
      <xdr:colOff>169282</xdr:colOff>
      <xdr:row>10</xdr:row>
      <xdr:rowOff>180580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83B597B-369C-3B1D-3935-CBFDABA72D04}"/>
            </a:ext>
          </a:extLst>
        </xdr:cNvPr>
        <xdr:cNvSpPr/>
      </xdr:nvSpPr>
      <xdr:spPr>
        <a:xfrm>
          <a:off x="5625530" y="1884635"/>
          <a:ext cx="135255" cy="135255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616621</xdr:colOff>
      <xdr:row>11</xdr:row>
      <xdr:rowOff>37707</xdr:rowOff>
    </xdr:from>
    <xdr:to>
      <xdr:col>9</xdr:col>
      <xdr:colOff>483476</xdr:colOff>
      <xdr:row>11</xdr:row>
      <xdr:rowOff>183931</xdr:rowOff>
    </xdr:to>
    <xdr:sp macro="" textlink="">
      <xdr:nvSpPr>
        <xdr:cNvPr id="10" name="Flowchart: Terminator 9">
          <a:extLst>
            <a:ext uri="{FF2B5EF4-FFF2-40B4-BE49-F238E27FC236}">
              <a16:creationId xmlns:a16="http://schemas.microsoft.com/office/drawing/2014/main" id="{E983DEC3-A731-AFDC-E7A6-BE18CA043F6E}"/>
            </a:ext>
          </a:extLst>
        </xdr:cNvPr>
        <xdr:cNvSpPr/>
      </xdr:nvSpPr>
      <xdr:spPr>
        <a:xfrm>
          <a:off x="5577504" y="2060948"/>
          <a:ext cx="497475" cy="146224"/>
        </a:xfrm>
        <a:prstGeom prst="flowChartTerminator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34027</xdr:colOff>
      <xdr:row>11</xdr:row>
      <xdr:rowOff>45325</xdr:rowOff>
    </xdr:from>
    <xdr:to>
      <xdr:col>9</xdr:col>
      <xdr:colOff>169282</xdr:colOff>
      <xdr:row>11</xdr:row>
      <xdr:rowOff>180580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6AB5FB9-91A4-8519-9058-3A7573F4C61E}"/>
            </a:ext>
          </a:extLst>
        </xdr:cNvPr>
        <xdr:cNvSpPr/>
      </xdr:nvSpPr>
      <xdr:spPr>
        <a:xfrm>
          <a:off x="5625530" y="2068566"/>
          <a:ext cx="135255" cy="135255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616621</xdr:colOff>
      <xdr:row>12</xdr:row>
      <xdr:rowOff>37707</xdr:rowOff>
    </xdr:from>
    <xdr:to>
      <xdr:col>9</xdr:col>
      <xdr:colOff>483476</xdr:colOff>
      <xdr:row>12</xdr:row>
      <xdr:rowOff>183931</xdr:rowOff>
    </xdr:to>
    <xdr:sp macro="" textlink="">
      <xdr:nvSpPr>
        <xdr:cNvPr id="12" name="Flowchart: Terminator 11">
          <a:extLst>
            <a:ext uri="{FF2B5EF4-FFF2-40B4-BE49-F238E27FC236}">
              <a16:creationId xmlns:a16="http://schemas.microsoft.com/office/drawing/2014/main" id="{66AAF61B-09AF-B9DD-9DA9-BA30E02238D4}"/>
            </a:ext>
          </a:extLst>
        </xdr:cNvPr>
        <xdr:cNvSpPr/>
      </xdr:nvSpPr>
      <xdr:spPr>
        <a:xfrm>
          <a:off x="5577504" y="2244879"/>
          <a:ext cx="497475" cy="146224"/>
        </a:xfrm>
        <a:prstGeom prst="flowChartTerminator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34027</xdr:colOff>
      <xdr:row>12</xdr:row>
      <xdr:rowOff>45325</xdr:rowOff>
    </xdr:from>
    <xdr:to>
      <xdr:col>9</xdr:col>
      <xdr:colOff>169282</xdr:colOff>
      <xdr:row>12</xdr:row>
      <xdr:rowOff>180580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442951B-461C-0255-3670-8CB94D4CBD32}"/>
            </a:ext>
          </a:extLst>
        </xdr:cNvPr>
        <xdr:cNvSpPr/>
      </xdr:nvSpPr>
      <xdr:spPr>
        <a:xfrm>
          <a:off x="5625530" y="2252497"/>
          <a:ext cx="135255" cy="135255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35860</xdr:colOff>
      <xdr:row>18</xdr:row>
      <xdr:rowOff>152400</xdr:rowOff>
    </xdr:from>
    <xdr:to>
      <xdr:col>28</xdr:col>
      <xdr:colOff>1</xdr:colOff>
      <xdr:row>18</xdr:row>
      <xdr:rowOff>152400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8292E98-0E18-0450-7352-A6DFEC206712}"/>
            </a:ext>
          </a:extLst>
        </xdr:cNvPr>
        <xdr:cNvCxnSpPr/>
      </xdr:nvCxnSpPr>
      <xdr:spPr>
        <a:xfrm>
          <a:off x="9081248" y="3379694"/>
          <a:ext cx="3012141" cy="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107577</xdr:colOff>
      <xdr:row>18</xdr:row>
      <xdr:rowOff>152400</xdr:rowOff>
    </xdr:from>
    <xdr:to>
      <xdr:col>31</xdr:col>
      <xdr:colOff>97276</xdr:colOff>
      <xdr:row>18</xdr:row>
      <xdr:rowOff>152400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0F93CF8-993C-E544-C16C-B562183BB63F}"/>
            </a:ext>
          </a:extLst>
        </xdr:cNvPr>
        <xdr:cNvCxnSpPr/>
      </xdr:nvCxnSpPr>
      <xdr:spPr>
        <a:xfrm>
          <a:off x="15963662" y="3508443"/>
          <a:ext cx="1692040" cy="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243435</xdr:colOff>
      <xdr:row>18</xdr:row>
      <xdr:rowOff>25718</xdr:rowOff>
    </xdr:from>
    <xdr:to>
      <xdr:col>25</xdr:col>
      <xdr:colOff>489796</xdr:colOff>
      <xdr:row>19</xdr:row>
      <xdr:rowOff>88740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E068C2E-09A5-E17D-2847-264AF8DD67A8}"/>
            </a:ext>
          </a:extLst>
        </xdr:cNvPr>
        <xdr:cNvSpPr/>
      </xdr:nvSpPr>
      <xdr:spPr>
        <a:xfrm>
          <a:off x="13976753" y="3298854"/>
          <a:ext cx="246361" cy="244863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649879</xdr:colOff>
      <xdr:row>14</xdr:row>
      <xdr:rowOff>57466</xdr:rowOff>
    </xdr:from>
    <xdr:to>
      <xdr:col>29</xdr:col>
      <xdr:colOff>912091</xdr:colOff>
      <xdr:row>18</xdr:row>
      <xdr:rowOff>80818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BC3E6AB-21B8-B12A-86C8-1EE9B87EE507}"/>
            </a:ext>
          </a:extLst>
        </xdr:cNvPr>
        <xdr:cNvCxnSpPr/>
      </xdr:nvCxnSpPr>
      <xdr:spPr>
        <a:xfrm>
          <a:off x="16553743" y="2643648"/>
          <a:ext cx="262212" cy="762261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92364</xdr:colOff>
      <xdr:row>14</xdr:row>
      <xdr:rowOff>44859</xdr:rowOff>
    </xdr:from>
    <xdr:to>
      <xdr:col>30</xdr:col>
      <xdr:colOff>515094</xdr:colOff>
      <xdr:row>18</xdr:row>
      <xdr:rowOff>69273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2DBED47-1C22-EE21-21A2-9B4F613F7EA4}"/>
            </a:ext>
          </a:extLst>
        </xdr:cNvPr>
        <xdr:cNvCxnSpPr/>
      </xdr:nvCxnSpPr>
      <xdr:spPr>
        <a:xfrm flipH="1">
          <a:off x="17260455" y="2631041"/>
          <a:ext cx="422730" cy="76332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286466</xdr:colOff>
      <xdr:row>14</xdr:row>
      <xdr:rowOff>51564</xdr:rowOff>
    </xdr:from>
    <xdr:to>
      <xdr:col>25</xdr:col>
      <xdr:colOff>160421</xdr:colOff>
      <xdr:row>18</xdr:row>
      <xdr:rowOff>120316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7DF13902-EA80-EFD4-D7B1-95F3AE5AD4DC}"/>
            </a:ext>
          </a:extLst>
        </xdr:cNvPr>
        <xdr:cNvCxnSpPr/>
      </xdr:nvCxnSpPr>
      <xdr:spPr>
        <a:xfrm>
          <a:off x="9911729" y="2618301"/>
          <a:ext cx="481263" cy="80210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595850</xdr:colOff>
      <xdr:row>14</xdr:row>
      <xdr:rowOff>22917</xdr:rowOff>
    </xdr:from>
    <xdr:to>
      <xdr:col>26</xdr:col>
      <xdr:colOff>332300</xdr:colOff>
      <xdr:row>18</xdr:row>
      <xdr:rowOff>100263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DDE056E-9CAB-2961-92C3-10CD2C5D8BC9}"/>
            </a:ext>
          </a:extLst>
        </xdr:cNvPr>
        <xdr:cNvCxnSpPr/>
      </xdr:nvCxnSpPr>
      <xdr:spPr>
        <a:xfrm flipH="1">
          <a:off x="10828421" y="2589654"/>
          <a:ext cx="343759" cy="810699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1005584</xdr:colOff>
      <xdr:row>18</xdr:row>
      <xdr:rowOff>51693</xdr:rowOff>
    </xdr:from>
    <xdr:to>
      <xdr:col>29</xdr:col>
      <xdr:colOff>1258455</xdr:colOff>
      <xdr:row>19</xdr:row>
      <xdr:rowOff>90276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C645F3C-36C8-BEED-67CE-D888EBE5E429}"/>
            </a:ext>
          </a:extLst>
        </xdr:cNvPr>
        <xdr:cNvSpPr/>
      </xdr:nvSpPr>
      <xdr:spPr>
        <a:xfrm>
          <a:off x="16860379" y="3324829"/>
          <a:ext cx="252871" cy="220424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9110-605E-4CE8-979F-6156FB0B4B66}">
  <dimension ref="B2:AG22"/>
  <sheetViews>
    <sheetView showGridLines="0" tabSelected="1" zoomScale="88" workbookViewId="0">
      <selection activeCell="S22" sqref="S20:S22"/>
    </sheetView>
  </sheetViews>
  <sheetFormatPr defaultRowHeight="14.4" x14ac:dyDescent="0.3"/>
  <cols>
    <col min="2" max="2" width="12.109375" bestFit="1" customWidth="1"/>
    <col min="3" max="3" width="7.77734375" bestFit="1" customWidth="1"/>
    <col min="4" max="4" width="11.44140625" customWidth="1"/>
    <col min="5" max="5" width="6.88671875" customWidth="1"/>
    <col min="6" max="6" width="9" bestFit="1" customWidth="1"/>
    <col min="7" max="7" width="6.88671875" bestFit="1" customWidth="1"/>
    <col min="8" max="8" width="1.44140625" customWidth="1"/>
    <col min="9" max="9" width="9.21875" customWidth="1"/>
    <col min="10" max="10" width="7.21875" customWidth="1"/>
    <col min="11" max="11" width="9.21875" customWidth="1"/>
    <col min="12" max="12" width="1.44140625" customWidth="1"/>
    <col min="13" max="16" width="9" customWidth="1"/>
    <col min="17" max="17" width="10.88671875" bestFit="1" customWidth="1"/>
    <col min="18" max="18" width="10.77734375" bestFit="1" customWidth="1"/>
    <col min="19" max="19" width="9" customWidth="1"/>
    <col min="20" max="20" width="10.21875" customWidth="1"/>
    <col min="21" max="22" width="9" customWidth="1"/>
    <col min="23" max="23" width="4.77734375" customWidth="1"/>
    <col min="24" max="24" width="10.6640625" customWidth="1"/>
    <col min="25" max="28" width="9" bestFit="1" customWidth="1"/>
    <col min="29" max="29" width="4" customWidth="1"/>
    <col min="30" max="31" width="18.44140625" customWidth="1"/>
    <col min="32" max="33" width="9" bestFit="1" customWidth="1"/>
    <col min="36" max="36" width="3.109375" customWidth="1"/>
  </cols>
  <sheetData>
    <row r="2" spans="2:31" x14ac:dyDescent="0.3">
      <c r="B2" s="1" t="s">
        <v>4</v>
      </c>
      <c r="C2" s="14">
        <v>100000</v>
      </c>
      <c r="E2" s="30" t="s">
        <v>17</v>
      </c>
      <c r="F2" s="31"/>
    </row>
    <row r="3" spans="2:31" x14ac:dyDescent="0.3">
      <c r="B3" s="1" t="s">
        <v>5</v>
      </c>
      <c r="C3" s="15" t="s">
        <v>8</v>
      </c>
      <c r="E3" s="32" t="s">
        <v>16</v>
      </c>
      <c r="F3" s="33"/>
    </row>
    <row r="4" spans="2:31" x14ac:dyDescent="0.3">
      <c r="B4" s="1" t="s">
        <v>6</v>
      </c>
      <c r="C4" s="15" t="s">
        <v>7</v>
      </c>
      <c r="E4" s="34" t="s">
        <v>20</v>
      </c>
      <c r="F4" s="34"/>
    </row>
    <row r="6" spans="2:31" x14ac:dyDescent="0.3">
      <c r="B6" s="23" t="s">
        <v>19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X6" s="23" t="s">
        <v>18</v>
      </c>
      <c r="Y6" s="24"/>
      <c r="Z6" s="24"/>
      <c r="AA6" s="24"/>
      <c r="AB6" s="24"/>
      <c r="AD6" s="23" t="s">
        <v>41</v>
      </c>
      <c r="AE6" s="24"/>
    </row>
    <row r="7" spans="2:31" x14ac:dyDescent="0.3">
      <c r="M7" s="8">
        <v>0.3</v>
      </c>
      <c r="N7" s="8">
        <v>0.3</v>
      </c>
      <c r="O7" s="8">
        <v>0.2</v>
      </c>
      <c r="P7" s="8">
        <v>0.2</v>
      </c>
      <c r="X7" s="13"/>
    </row>
    <row r="8" spans="2:31" x14ac:dyDescent="0.3">
      <c r="B8" s="1" t="s">
        <v>25</v>
      </c>
      <c r="C8" s="2" t="s">
        <v>9</v>
      </c>
      <c r="D8" s="1" t="s">
        <v>37</v>
      </c>
      <c r="E8" s="2" t="s">
        <v>9</v>
      </c>
      <c r="F8" s="1" t="s">
        <v>39</v>
      </c>
      <c r="G8" s="2" t="s">
        <v>14</v>
      </c>
      <c r="I8" s="27" t="s">
        <v>32</v>
      </c>
      <c r="J8" s="28"/>
      <c r="K8" s="29"/>
      <c r="M8" s="1" t="s">
        <v>26</v>
      </c>
      <c r="N8" s="1" t="s">
        <v>27</v>
      </c>
      <c r="O8" s="1" t="s">
        <v>28</v>
      </c>
      <c r="P8" s="1" t="s">
        <v>29</v>
      </c>
      <c r="Q8" s="1" t="s">
        <v>38</v>
      </c>
      <c r="R8" s="1" t="s">
        <v>13</v>
      </c>
      <c r="S8" s="1" t="s">
        <v>40</v>
      </c>
      <c r="T8" s="1" t="s">
        <v>46</v>
      </c>
      <c r="U8" s="1" t="s">
        <v>12</v>
      </c>
      <c r="V8" s="21" t="s">
        <v>42</v>
      </c>
      <c r="X8" s="2" t="s">
        <v>10</v>
      </c>
      <c r="Y8" s="2" t="s">
        <v>14</v>
      </c>
      <c r="Z8" s="2" t="s">
        <v>11</v>
      </c>
      <c r="AA8" s="2" t="s">
        <v>14</v>
      </c>
      <c r="AB8" s="2" t="s">
        <v>15</v>
      </c>
      <c r="AD8" s="10" t="s">
        <v>43</v>
      </c>
      <c r="AE8" s="10" t="s">
        <v>44</v>
      </c>
    </row>
    <row r="9" spans="2:31" x14ac:dyDescent="0.3">
      <c r="B9" s="16" t="s">
        <v>21</v>
      </c>
      <c r="C9" s="8">
        <v>0.4</v>
      </c>
      <c r="D9" s="16" t="s">
        <v>0</v>
      </c>
      <c r="E9" s="8">
        <v>0.4</v>
      </c>
      <c r="F9" s="16">
        <v>500</v>
      </c>
      <c r="G9" s="8">
        <f>F9*E9</f>
        <v>200</v>
      </c>
      <c r="I9" s="19" t="s">
        <v>31</v>
      </c>
      <c r="J9" s="19"/>
      <c r="K9" s="19" t="s">
        <v>30</v>
      </c>
      <c r="M9" s="16">
        <v>200</v>
      </c>
      <c r="N9" s="17">
        <v>200</v>
      </c>
      <c r="O9" s="17">
        <v>100</v>
      </c>
      <c r="P9" s="17"/>
      <c r="Q9" s="17">
        <f>S9+(S9*R9)</f>
        <v>150000</v>
      </c>
      <c r="R9" s="20">
        <v>0.5</v>
      </c>
      <c r="S9" s="3">
        <v>100000</v>
      </c>
      <c r="T9" s="3"/>
      <c r="U9" s="3">
        <f>Q9/F9</f>
        <v>300</v>
      </c>
      <c r="V9" s="3"/>
      <c r="X9" s="9">
        <v>50</v>
      </c>
      <c r="Y9" s="9">
        <f>X9*E9</f>
        <v>20</v>
      </c>
      <c r="Z9" s="9">
        <v>250</v>
      </c>
      <c r="AA9" s="9">
        <f>Z9*E9</f>
        <v>100</v>
      </c>
      <c r="AB9" s="9">
        <f>MEDIAN(Z9,X9)</f>
        <v>150</v>
      </c>
      <c r="AD9" s="12">
        <v>350</v>
      </c>
      <c r="AE9" s="11">
        <v>500</v>
      </c>
    </row>
    <row r="10" spans="2:31" x14ac:dyDescent="0.3">
      <c r="B10" s="16" t="s">
        <v>21</v>
      </c>
      <c r="C10" s="8">
        <v>0.4</v>
      </c>
      <c r="D10" s="16" t="s">
        <v>0</v>
      </c>
      <c r="E10" s="8">
        <v>0.2</v>
      </c>
      <c r="F10" s="16">
        <v>100</v>
      </c>
      <c r="G10" s="8">
        <f>F10*E10</f>
        <v>20</v>
      </c>
      <c r="I10" s="19" t="s">
        <v>31</v>
      </c>
      <c r="J10" s="19"/>
      <c r="K10" s="19" t="s">
        <v>30</v>
      </c>
      <c r="M10" s="16">
        <v>50</v>
      </c>
      <c r="N10" s="17">
        <v>50</v>
      </c>
      <c r="O10" s="17">
        <v>10</v>
      </c>
      <c r="P10" s="17"/>
      <c r="Q10" s="17">
        <v>7000</v>
      </c>
      <c r="R10" s="20">
        <v>0.3</v>
      </c>
      <c r="S10" s="3">
        <v>50000</v>
      </c>
      <c r="T10" s="3"/>
      <c r="U10" s="3">
        <f>Q10/F10</f>
        <v>70</v>
      </c>
      <c r="V10" s="3"/>
      <c r="X10" s="9">
        <v>1</v>
      </c>
      <c r="Y10" s="9">
        <f>X10*E10</f>
        <v>0.2</v>
      </c>
      <c r="Z10" s="9">
        <v>15</v>
      </c>
      <c r="AA10" s="9">
        <f>Z10*E10</f>
        <v>3</v>
      </c>
      <c r="AB10" s="9">
        <f>MEDIAN(Z10,X10)</f>
        <v>8</v>
      </c>
      <c r="AD10" s="12">
        <v>100</v>
      </c>
      <c r="AE10" s="12">
        <v>200</v>
      </c>
    </row>
    <row r="11" spans="2:31" x14ac:dyDescent="0.3">
      <c r="B11" s="16" t="s">
        <v>22</v>
      </c>
      <c r="C11" s="8">
        <v>0.2</v>
      </c>
      <c r="D11" s="16" t="s">
        <v>1</v>
      </c>
      <c r="E11" s="8">
        <v>0.2</v>
      </c>
      <c r="F11" s="16">
        <v>5</v>
      </c>
      <c r="G11" s="8">
        <f>F11*E11</f>
        <v>1</v>
      </c>
      <c r="I11" s="19" t="s">
        <v>31</v>
      </c>
      <c r="J11" s="19"/>
      <c r="K11" s="19" t="s">
        <v>30</v>
      </c>
      <c r="M11" s="16"/>
      <c r="N11" s="17">
        <v>20</v>
      </c>
      <c r="O11" s="17">
        <v>20</v>
      </c>
      <c r="P11" s="17"/>
      <c r="Q11" s="17">
        <f>S11+(S11*R11)</f>
        <v>51000</v>
      </c>
      <c r="R11" s="20">
        <v>0.7</v>
      </c>
      <c r="S11" s="3">
        <v>30000</v>
      </c>
      <c r="T11" s="3"/>
      <c r="U11" s="3">
        <f>Q11/F11</f>
        <v>10200</v>
      </c>
      <c r="V11" s="3"/>
      <c r="X11" s="9">
        <v>2</v>
      </c>
      <c r="Y11" s="9">
        <f>X11*E11</f>
        <v>0.4</v>
      </c>
      <c r="Z11" s="9">
        <v>7</v>
      </c>
      <c r="AA11" s="9">
        <f>Z11*E11</f>
        <v>1.4000000000000001</v>
      </c>
      <c r="AB11" s="9">
        <f>MEDIAN(Z11,X11)</f>
        <v>4.5</v>
      </c>
      <c r="AD11" s="12">
        <v>2000</v>
      </c>
      <c r="AE11" s="11">
        <v>3500</v>
      </c>
    </row>
    <row r="12" spans="2:31" x14ac:dyDescent="0.3">
      <c r="B12" s="16" t="s">
        <v>23</v>
      </c>
      <c r="C12" s="8">
        <v>0.3</v>
      </c>
      <c r="D12" s="16" t="s">
        <v>2</v>
      </c>
      <c r="E12" s="8">
        <v>0.3</v>
      </c>
      <c r="F12" s="16">
        <v>4</v>
      </c>
      <c r="G12" s="8">
        <f>F12*E12</f>
        <v>1.2</v>
      </c>
      <c r="I12" s="19" t="s">
        <v>31</v>
      </c>
      <c r="J12" s="19"/>
      <c r="K12" s="19" t="s">
        <v>30</v>
      </c>
      <c r="M12" s="16">
        <v>5</v>
      </c>
      <c r="N12" s="17">
        <v>10</v>
      </c>
      <c r="O12" s="17">
        <v>10</v>
      </c>
      <c r="P12" s="17"/>
      <c r="Q12" s="17">
        <f>S12+(S12*R12)</f>
        <v>96000</v>
      </c>
      <c r="R12" s="20">
        <v>0.2</v>
      </c>
      <c r="S12" s="3">
        <v>80000</v>
      </c>
      <c r="T12" s="3"/>
      <c r="U12" s="3">
        <f>Q12/F12</f>
        <v>24000</v>
      </c>
      <c r="V12" s="3"/>
      <c r="X12" s="9">
        <v>3</v>
      </c>
      <c r="Y12" s="9">
        <f>X12*E12</f>
        <v>0.89999999999999991</v>
      </c>
      <c r="Z12" s="9">
        <v>6</v>
      </c>
      <c r="AA12" s="9">
        <f>Z12*E12</f>
        <v>1.7999999999999998</v>
      </c>
      <c r="AB12" s="9">
        <f>MEDIAN(Z12,X12)</f>
        <v>4.5</v>
      </c>
      <c r="AD12" s="12">
        <v>5000</v>
      </c>
      <c r="AE12" s="11">
        <v>7000</v>
      </c>
    </row>
    <row r="13" spans="2:31" x14ac:dyDescent="0.3">
      <c r="B13" s="16" t="s">
        <v>24</v>
      </c>
      <c r="C13" s="8"/>
      <c r="D13" s="16" t="s">
        <v>3</v>
      </c>
      <c r="E13" s="8"/>
      <c r="F13" s="16"/>
      <c r="G13" s="8"/>
      <c r="I13" s="19" t="s">
        <v>31</v>
      </c>
      <c r="J13" s="19"/>
      <c r="K13" s="19" t="s">
        <v>30</v>
      </c>
      <c r="M13" s="16"/>
      <c r="N13" s="17"/>
      <c r="O13" s="17"/>
      <c r="P13" s="17"/>
      <c r="Q13" s="17"/>
      <c r="R13" s="16"/>
      <c r="S13" s="3"/>
      <c r="T13" s="3"/>
      <c r="U13" s="3"/>
      <c r="V13" s="3"/>
      <c r="X13" s="9"/>
      <c r="Y13" s="9"/>
      <c r="Z13" s="9"/>
      <c r="AA13" s="9"/>
      <c r="AB13" s="9"/>
      <c r="AD13" s="12"/>
      <c r="AE13" s="11"/>
    </row>
    <row r="14" spans="2:31" x14ac:dyDescent="0.3">
      <c r="B14" s="4"/>
      <c r="C14" s="5">
        <f>SUM(C9:C13)</f>
        <v>1.3</v>
      </c>
      <c r="D14" s="4"/>
      <c r="E14" s="5">
        <f>SUM(E9:E13)</f>
        <v>1.1000000000000001</v>
      </c>
      <c r="F14" s="4">
        <f>SUM(F9:F12)</f>
        <v>609</v>
      </c>
      <c r="G14" s="5">
        <f>SUM(G9:G13)</f>
        <v>222.2</v>
      </c>
      <c r="M14" s="4"/>
      <c r="N14" s="6"/>
      <c r="O14" s="6"/>
      <c r="P14" s="6"/>
      <c r="Q14" s="6">
        <f>SUM(Q9:Q13)</f>
        <v>304000</v>
      </c>
      <c r="R14" s="4"/>
      <c r="S14" s="6">
        <f>SUM(S9:S13)</f>
        <v>260000</v>
      </c>
      <c r="T14" s="6"/>
      <c r="U14" s="6">
        <f>Q14/F14</f>
        <v>499.1789819376026</v>
      </c>
      <c r="V14" s="22"/>
      <c r="X14" s="6"/>
      <c r="Y14" s="7">
        <f>SUM(Y9:Y13)</f>
        <v>21.499999999999996</v>
      </c>
      <c r="Z14" s="7"/>
      <c r="AA14" s="7">
        <f>SUM(AA9:AA13)</f>
        <v>106.2</v>
      </c>
      <c r="AB14" s="6"/>
      <c r="AD14" s="7">
        <f>MEDIAN(AD9:AD13)</f>
        <v>1175</v>
      </c>
      <c r="AE14" s="7">
        <f>MEDIAN(AE9:AE13)</f>
        <v>2000</v>
      </c>
    </row>
    <row r="16" spans="2:31" x14ac:dyDescent="0.3">
      <c r="Y16">
        <v>81.100000000000009</v>
      </c>
    </row>
    <row r="20" spans="19:33" x14ac:dyDescent="0.3">
      <c r="S20" t="s">
        <v>45</v>
      </c>
      <c r="X20" s="18" t="s">
        <v>33</v>
      </c>
      <c r="Y20" s="18"/>
      <c r="Z20" s="18"/>
      <c r="AA20" s="18"/>
      <c r="AB20" s="18" t="s">
        <v>34</v>
      </c>
      <c r="AC20" s="18"/>
      <c r="AD20" s="25" t="s">
        <v>35</v>
      </c>
      <c r="AE20" s="26" t="s">
        <v>36</v>
      </c>
      <c r="AG20" s="18"/>
    </row>
    <row r="21" spans="19:33" x14ac:dyDescent="0.3">
      <c r="S21" t="s">
        <v>47</v>
      </c>
    </row>
    <row r="22" spans="19:33" x14ac:dyDescent="0.3">
      <c r="S22" t="s">
        <v>48</v>
      </c>
    </row>
  </sheetData>
  <mergeCells count="4">
    <mergeCell ref="I8:K8"/>
    <mergeCell ref="E2:F2"/>
    <mergeCell ref="E3:F3"/>
    <mergeCell ref="E4:F4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Maciel</dc:creator>
  <cp:lastModifiedBy>Ton Maciel</cp:lastModifiedBy>
  <dcterms:created xsi:type="dcterms:W3CDTF">2026-01-22T17:44:44Z</dcterms:created>
  <dcterms:modified xsi:type="dcterms:W3CDTF">2026-02-04T22:37:33Z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2026-01-28T21:31:13Z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726bb5be-b4da-4730-9218-cf81a5444f4b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